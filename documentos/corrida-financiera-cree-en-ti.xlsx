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orrida Financiera" sheetId="2" state="visible" r:id="rId4"/>
    <sheet name="Línea de Tiemp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<sst xmlns="http://schemas.openxmlformats.org/spreadsheetml/2006/main" count="167" uniqueCount="135">
  <si>
    <t xml:space="preserve">CREE EN TI: DESPIERTA TU PODER INTERIOR</t>
  </si>
  <si>
    <t xml:space="preserve">Supuestos del modelo financiero — Modificar en azul</t>
  </si>
  <si>
    <t xml:space="preserve">INGRESOS</t>
  </si>
  <si>
    <t xml:space="preserve">Precio entrada (IVA incluido)</t>
  </si>
  <si>
    <t xml:space="preserve">IVA aplicable</t>
  </si>
  <si>
    <t xml:space="preserve">Precio neto por entrada (sin IVA)</t>
  </si>
  <si>
    <t xml:space="preserve">COSTOS VARIABLES (por asistente)</t>
  </si>
  <si>
    <t xml:space="preserve">Comisión plataforma ticketing (% sobre precio bruto)</t>
  </si>
  <si>
    <t xml:space="preserve">Fee fijo por transacción (plataforma)</t>
  </si>
  <si>
    <t xml:space="preserve">COSTOS FIJOS (por evento)</t>
  </si>
  <si>
    <t xml:space="preserve">Renta del local</t>
  </si>
  <si>
    <t xml:space="preserve">Seguro responsabilidad civil</t>
  </si>
  <si>
    <t xml:space="preserve">Materiales e impresos</t>
  </si>
  <si>
    <t xml:space="preserve">Marketing y publicidad digital</t>
  </si>
  <si>
    <t xml:space="preserve">Gestión administrativa (gestoría, % evento)</t>
  </si>
  <si>
    <t xml:space="preserve">Producción y logística</t>
  </si>
  <si>
    <t xml:space="preserve">DISTRIBUCIÓN DE BENEFICIO NETO</t>
  </si>
  <si>
    <t xml:space="preserve">Porción Mariana Verner (%)</t>
  </si>
  <si>
    <t xml:space="preserve">Porción co-ponente (%)</t>
  </si>
  <si>
    <t xml:space="preserve">Porción empresa ∞ SL (%)</t>
  </si>
  <si>
    <t xml:space="preserve">★  Celdas en AZUL = inputs modificables. Negro = fórmulas. No modificar celdas negras.</t>
  </si>
  <si>
    <t xml:space="preserve">CREE EN TI: DESPIERTA TU PODER INTERIOR — CORRIDA FINANCIERA POR EVENTO</t>
  </si>
  <si>
    <t xml:space="preserve">∞ SL · Madrid, España · Escenarios: 50 / 70 / 100 / 150 asistentes por evento</t>
  </si>
  <si>
    <t xml:space="preserve">Concepto</t>
  </si>
  <si>
    <t xml:space="preserve">Notas</t>
  </si>
  <si>
    <t xml:space="preserve">50 asistentes</t>
  </si>
  <si>
    <t xml:space="preserve">70 asistentes</t>
  </si>
  <si>
    <t xml:space="preserve">100 asistentes</t>
  </si>
  <si>
    <t xml:space="preserve">150 asistentes</t>
  </si>
  <si>
    <t xml:space="preserve">ASISTENTES</t>
  </si>
  <si>
    <t xml:space="preserve">Asistentes por evento</t>
  </si>
  <si>
    <t xml:space="preserve">Input modificable</t>
  </si>
  <si>
    <t xml:space="preserve">Ocupación del aforo estimado</t>
  </si>
  <si>
    <t xml:space="preserve">Ref.: capacidad ~150 plazas</t>
  </si>
  <si>
    <t xml:space="preserve">INGRESOS BRUTOS</t>
  </si>
  <si>
    <t xml:space="preserve">Ingresos brutos totales (IVA incl.)</t>
  </si>
  <si>
    <t xml:space="preserve">Asistentes × precio bruto</t>
  </si>
  <si>
    <t xml:space="preserve">IVA repercutido (a Hacienda)</t>
  </si>
  <si>
    <t xml:space="preserve">21% sobre precio neto</t>
  </si>
  <si>
    <t xml:space="preserve">Ingresos netos (sin IVA)</t>
  </si>
  <si>
    <t xml:space="preserve">Base imponible real</t>
  </si>
  <si>
    <t xml:space="preserve">COSTOS VARIABLES</t>
  </si>
  <si>
    <t xml:space="preserve">Comisión plataforma ticketing</t>
  </si>
  <si>
    <t xml:space="preserve">6.5% + 0.99€/transacción</t>
  </si>
  <si>
    <t xml:space="preserve">COSTOS FIJOS</t>
  </si>
  <si>
    <t xml:space="preserve">Fuente: estimación Madrid</t>
  </si>
  <si>
    <t xml:space="preserve">Por evento</t>
  </si>
  <si>
    <t xml:space="preserve">Impresiones, carpetas, etc.</t>
  </si>
  <si>
    <t xml:space="preserve">Marketing y publicidad</t>
  </si>
  <si>
    <t xml:space="preserve">Redes, ads, diseño</t>
  </si>
  <si>
    <t xml:space="preserve">Gestión administrativa</t>
  </si>
  <si>
    <t xml:space="preserve">Gestoría, trámites</t>
  </si>
  <si>
    <t xml:space="preserve">Sonido, proyección, agua</t>
  </si>
  <si>
    <t xml:space="preserve">Total costos fijos</t>
  </si>
  <si>
    <t xml:space="preserve">RESULTADOS</t>
  </si>
  <si>
    <t xml:space="preserve">Total costos (variables + fijos)</t>
  </si>
  <si>
    <t xml:space="preserve">EBITDA (beneficio antes impuestos)</t>
  </si>
  <si>
    <t xml:space="preserve">Ingreso neto − todos costos</t>
  </si>
  <si>
    <t xml:space="preserve">Margen EBITDA (%)</t>
  </si>
  <si>
    <t xml:space="preserve">EBITDA / Ingresos netos</t>
  </si>
  <si>
    <t xml:space="preserve">Punto de equilibrio (asistentes)</t>
  </si>
  <si>
    <t xml:space="preserve">Mín. para cubrir costos</t>
  </si>
  <si>
    <t xml:space="preserve">DISTRIBUCIÓN DEL BENEFICIO</t>
  </si>
  <si>
    <t xml:space="preserve">Mariana Verner (40%)</t>
  </si>
  <si>
    <t xml:space="preserve">Sobre EBITDA positivo</t>
  </si>
  <si>
    <t xml:space="preserve">Co-ponente (40%)</t>
  </si>
  <si>
    <t xml:space="preserve">∞ SL — reserva empresa (20%)</t>
  </si>
  <si>
    <t xml:space="preserve">ACUMULADO 3 EVENTOS MADRID</t>
  </si>
  <si>
    <t xml:space="preserve">EBITDA total (3 eventos mismo escenario)</t>
  </si>
  <si>
    <t xml:space="preserve">× 3 fechas Madrid</t>
  </si>
  <si>
    <t xml:space="preserve">Distribución Mariana Verner (3 eventos)</t>
  </si>
  <si>
    <t xml:space="preserve">Distribución co-ponente (3 eventos)</t>
  </si>
  <si>
    <t xml:space="preserve">Reserva ∞ SL (3 eventos)</t>
  </si>
  <si>
    <t xml:space="preserve">LÍNEA DE TIEMPO — CREE EN TI: DESPIERTA TU PODER INTERIOR</t>
  </si>
  <si>
    <t xml:space="preserve">∞ SL · Gira España 2025 → América Latina 2026 → España 2027</t>
  </si>
  <si>
    <t xml:space="preserve">Fecha</t>
  </si>
  <si>
    <t xml:space="preserve">Hito</t>
  </si>
  <si>
    <t xml:space="preserve">Ciudad</t>
  </si>
  <si>
    <t xml:space="preserve">Acción principal</t>
  </si>
  <si>
    <t xml:space="preserve">Estado</t>
  </si>
  <si>
    <t xml:space="preserve">Mayo 2025</t>
  </si>
  <si>
    <t xml:space="preserve">Diagnóstico y reactivación SL</t>
  </si>
  <si>
    <t xml:space="preserve">Madrid</t>
  </si>
  <si>
    <t xml:space="preserve">Modelo 036 ante AEAT · CIF activo</t>
  </si>
  <si>
    <t xml:space="preserve">⏳ Pendiente</t>
  </si>
  <si>
    <t xml:space="preserve">Junio 2025</t>
  </si>
  <si>
    <t xml:space="preserve">Contratos y documentación legal</t>
  </si>
  <si>
    <t xml:space="preserve">Contrato ponentes · Seguro · RGPD</t>
  </si>
  <si>
    <t xml:space="preserve">Configuración fiscal y bancaria</t>
  </si>
  <si>
    <t xml:space="preserve">IVA definido · Cuenta SL · Plataforma ticketing</t>
  </si>
  <si>
    <t xml:space="preserve">Agosto 2025</t>
  </si>
  <si>
    <t xml:space="preserve">Apertura venta de entradas</t>
  </si>
  <si>
    <t xml:space="preserve">Online</t>
  </si>
  <si>
    <t xml:space="preserve">Landing live · Venta activa · 20€ reserva</t>
  </si>
  <si>
    <t xml:space="preserve">24 Sep 2025</t>
  </si>
  <si>
    <t xml:space="preserve">EVENTO 1 — Primer taller</t>
  </si>
  <si>
    <t xml:space="preserve">Madrid 🇪🇸</t>
  </si>
  <si>
    <t xml:space="preserve">Cree en ti: despierta tu poder interior</t>
  </si>
  <si>
    <t xml:space="preserve">🎯 Objetivo</t>
  </si>
  <si>
    <t xml:space="preserve">26 Oct 2025</t>
  </si>
  <si>
    <t xml:space="preserve">EVENTO 2 — Segunda edición</t>
  </si>
  <si>
    <t xml:space="preserve">26 Nov 2025</t>
  </si>
  <si>
    <t xml:space="preserve">EVENTO 3 — Tercera edición</t>
  </si>
  <si>
    <t xml:space="preserve">Oct 2025</t>
  </si>
  <si>
    <t xml:space="preserve">Inicio gestión legal LATAM</t>
  </si>
  <si>
    <t xml:space="preserve">Madrid/CDMX</t>
  </si>
  <si>
    <t xml:space="preserve">Asesor fiscal México · Estructura operativa</t>
  </si>
  <si>
    <t xml:space="preserve">📋 Planificar</t>
  </si>
  <si>
    <t xml:space="preserve">Enero 2026</t>
  </si>
  <si>
    <t xml:space="preserve">EVENTO 4 — Gira LATAM arranca</t>
  </si>
  <si>
    <t xml:space="preserve">Ciudad de México 🇲🇽</t>
  </si>
  <si>
    <t xml:space="preserve">Primer evento internacional</t>
  </si>
  <si>
    <t xml:space="preserve">🌎 En ruta</t>
  </si>
  <si>
    <t xml:space="preserve">Febrero 2026</t>
  </si>
  <si>
    <t xml:space="preserve">EVENTO 5</t>
  </si>
  <si>
    <t xml:space="preserve">Cancún 🇲🇽</t>
  </si>
  <si>
    <t xml:space="preserve">Segunda parada México</t>
  </si>
  <si>
    <t xml:space="preserve">EVENTO 6</t>
  </si>
  <si>
    <t xml:space="preserve">Mérida 🇲🇽</t>
  </si>
  <si>
    <t xml:space="preserve">Tercera parada México</t>
  </si>
  <si>
    <t xml:space="preserve">2027</t>
  </si>
  <si>
    <t xml:space="preserve">Expansión España — Ibiza</t>
  </si>
  <si>
    <t xml:space="preserve">Ibiza 🇪🇸</t>
  </si>
  <si>
    <t xml:space="preserve">Nuevo mercado · Perfil premium</t>
  </si>
  <si>
    <t xml:space="preserve">🔭 Visión</t>
  </si>
  <si>
    <t xml:space="preserve">Expansión España — Cádiz</t>
  </si>
  <si>
    <t xml:space="preserve">Cádiz 🇪🇸</t>
  </si>
  <si>
    <t xml:space="preserve">Mercado sur de España</t>
  </si>
  <si>
    <t xml:space="preserve">Expansión España — Valencia</t>
  </si>
  <si>
    <t xml:space="preserve">Valencia 🇪🇸</t>
  </si>
  <si>
    <t xml:space="preserve">Levante español</t>
  </si>
  <si>
    <t xml:space="preserve">Expansión España — Bilbao</t>
  </si>
  <si>
    <t xml:space="preserve">Bilbao 🇪🇸</t>
  </si>
  <si>
    <t xml:space="preserve">Norte de España</t>
  </si>
  <si>
    <t xml:space="preserve">Leyenda de estados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</si>
</sst>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;\(#,##0.00&quot; €)&quot;;\-"/>
    <numFmt numFmtId="166" formatCode="0.0%;\(0.0%\);\-"/>
    <numFmt numFmtId="167" formatCode="#,##0&quot; €&quot;;\(#,##0&quot; €)&quot;;\-"/>
    <numFmt numFmtId="168" formatCode="#,##0;\(#,##0\);\-"/>
    <numFmt numFmtId="169" formatCode="0.0&quot; asis.&quot;;\(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7F7F5"/>
      </patternFill>
    </fill>
    <fill>
      <patternFill patternType="solid">
        <fgColor rgb="FFF5E9C8"/>
        <bgColor rgb="FFE8E6E0"/>
      </patternFill>
    </fill>
    <fill>
      <patternFill patternType="solid">
        <fgColor rgb="FFF7F7F5"/>
        <bgColor rgb="FFFFF9E6"/>
      </patternFill>
    </fill>
    <fill>
      <patternFill patternType="solid">
        <fgColor rgb="FFFDECEA"/>
        <bgColor rgb="FFF3E5F5"/>
      </patternFill>
    </fill>
    <fill>
      <patternFill patternType="solid">
        <fgColor rgb="FFEAF7EC"/>
        <bgColor rgb="FFE8F5E9"/>
      </patternFill>
    </fill>
    <fill>
      <patternFill patternType="solid">
        <fgColor rgb="FFE8E6E0"/>
        <bgColor rgb="FFF3E5F5"/>
      </patternFill>
    </fill>
    <fill>
      <patternFill patternType="solid">
        <fgColor rgb="FF1E8449"/>
        <bgColor rgb="FF008080"/>
      </patternFill>
    </fill>
    <fill>
      <patternFill patternType="solid">
        <fgColor rgb="FFFFF9E6"/>
        <bgColor rgb="FFF7F7F5"/>
      </patternFill>
    </fill>
    <fill>
      <patternFill patternType="solid">
        <fgColor rgb="FFE8F5E9"/>
        <bgColor rgb="FFEAF7EC"/>
      </patternFill>
    </fill>
    <fill>
      <patternFill patternType="solid">
        <fgColor rgb="FFEEF2FF"/>
        <bgColor rgb="FFE3F2FD"/>
      </patternFill>
    </fill>
    <fill>
      <patternFill patternType="solid">
        <fgColor rgb="FFE3F2FD"/>
        <bgColor rgb="FFEEF2FF"/>
      </patternFill>
    </fill>
    <fill>
      <patternFill patternType="solid">
        <fgColor rgb="FFF3E5F5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3F2FD"/>
      <rgbColor rgb="FF660066"/>
      <rgbColor rgb="FFFF8080"/>
      <rgbColor rgb="FF0066CC"/>
      <rgbColor rgb="FFE8E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7EC"/>
      <rgbColor rgb="FFF5E9C8"/>
      <rgbColor rgb="FFF3E5F5"/>
      <rgbColor rgb="FFF7F7F5"/>
      <rgbColor rgb="FFEEF2FF"/>
      <rgbColor rgb="FFFDECEA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1E8449"/>
      <rgbColor rgb="FF0A0A0A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6" min="3" style="0" width="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8" hidden="false" customHeight="true" outlineLevel="0" collapsed="false">
      <c r="A5" s="4" t="s">
        <v>3</v>
      </c>
      <c r="B5" s="5" t="n">
        <v>78</v>
      </c>
    </row>
    <row r="6" customFormat="false" ht="18" hidden="false" customHeight="true" outlineLevel="0" collapsed="false">
      <c r="A6" s="6" t="s">
        <v>4</v>
      </c>
      <c r="B6" s="7" t="n">
        <v>0.21</v>
      </c>
    </row>
    <row r="7" customFormat="false" ht="18" hidden="false" customHeight="true" outlineLevel="0" collapsed="false">
      <c r="A7" s="4" t="s">
        <v>5</v>
      </c>
      <c r="B7" s="8" t="n">
        <f aca="false">B5/(1+B6)</f>
        <v>64.4628099173554</v>
      </c>
    </row>
    <row r="8" customFormat="false" ht="6" hidden="false" customHeight="true" outlineLevel="0" collapsed="false"/>
    <row r="9" customFormat="false" ht="18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18" hidden="false" customHeight="true" outlineLevel="0" collapsed="false">
      <c r="A10" s="6" t="s">
        <v>7</v>
      </c>
      <c r="B10" s="7" t="n">
        <v>0.065</v>
      </c>
    </row>
    <row r="11" customFormat="false" ht="18" hidden="false" customHeight="true" outlineLevel="0" collapsed="false">
      <c r="A11" s="4" t="s">
        <v>8</v>
      </c>
      <c r="B11" s="5" t="n">
        <v>0.99</v>
      </c>
    </row>
    <row r="12" customFormat="false" ht="6" hidden="false" customHeight="true" outlineLevel="0" collapsed="false"/>
    <row r="13" customFormat="false" ht="18" hidden="false" customHeight="true" outlineLevel="0" collapsed="false">
      <c r="A13" s="3" t="s">
        <v>9</v>
      </c>
      <c r="B13" s="3"/>
      <c r="C13" s="3"/>
      <c r="D13" s="3"/>
      <c r="E13" s="3"/>
      <c r="F13" s="3"/>
    </row>
    <row r="14" customFormat="false" ht="18" hidden="false" customHeight="true" outlineLevel="0" collapsed="false">
      <c r="A14" s="6" t="s">
        <v>10</v>
      </c>
      <c r="B14" s="9" t="n">
        <v>400</v>
      </c>
    </row>
    <row r="15" customFormat="false" ht="18" hidden="false" customHeight="true" outlineLevel="0" collapsed="false">
      <c r="A15" s="4" t="s">
        <v>11</v>
      </c>
      <c r="B15" s="9" t="n">
        <v>150</v>
      </c>
    </row>
    <row r="16" customFormat="false" ht="18" hidden="false" customHeight="true" outlineLevel="0" collapsed="false">
      <c r="A16" s="6" t="s">
        <v>12</v>
      </c>
      <c r="B16" s="9" t="n">
        <v>60</v>
      </c>
    </row>
    <row r="17" customFormat="false" ht="18" hidden="false" customHeight="true" outlineLevel="0" collapsed="false">
      <c r="A17" s="4" t="s">
        <v>13</v>
      </c>
      <c r="B17" s="9" t="n">
        <v>250</v>
      </c>
    </row>
    <row r="18" customFormat="false" ht="18" hidden="false" customHeight="true" outlineLevel="0" collapsed="false">
      <c r="A18" s="6" t="s">
        <v>14</v>
      </c>
      <c r="B18" s="9" t="n">
        <v>120</v>
      </c>
    </row>
    <row r="19" customFormat="false" ht="18" hidden="false" customHeight="true" outlineLevel="0" collapsed="false">
      <c r="A19" s="4" t="s">
        <v>15</v>
      </c>
      <c r="B19" s="9" t="n">
        <v>80</v>
      </c>
    </row>
    <row r="20" customFormat="false" ht="6" hidden="false" customHeight="true" outlineLevel="0" collapsed="false"/>
    <row r="21" customFormat="false" ht="18" hidden="false" customHeight="true" outlineLevel="0" collapsed="false">
      <c r="A21" s="3" t="s">
        <v>16</v>
      </c>
      <c r="B21" s="3"/>
      <c r="C21" s="3"/>
      <c r="D21" s="3"/>
      <c r="E21" s="3"/>
      <c r="F21" s="3"/>
    </row>
    <row r="22" customFormat="false" ht="18" hidden="false" customHeight="true" outlineLevel="0" collapsed="false">
      <c r="A22" s="6" t="s">
        <v>17</v>
      </c>
      <c r="B22" s="7" t="n">
        <v>0.4</v>
      </c>
    </row>
    <row r="23" customFormat="false" ht="18" hidden="false" customHeight="true" outlineLevel="0" collapsed="false">
      <c r="A23" s="4" t="s">
        <v>18</v>
      </c>
      <c r="B23" s="7" t="n">
        <v>0.4</v>
      </c>
    </row>
    <row r="24" customFormat="false" ht="18" hidden="false" customHeight="true" outlineLevel="0" collapsed="false">
      <c r="A24" s="6" t="s">
        <v>19</v>
      </c>
      <c r="B24" s="7" t="n">
        <v>0.2</v>
      </c>
    </row>
    <row r="26" customFormat="false" ht="15" hidden="false" customHeight="false" outlineLevel="0" collapsed="false">
      <c r="A26" s="10" t="s">
        <v>20</v>
      </c>
      <c r="B26" s="10"/>
      <c r="C26" s="10"/>
      <c r="D26" s="10"/>
      <c r="E26" s="10"/>
      <c r="F26" s="10"/>
    </row>
  </sheetData>
  <mergeCells count="7">
    <mergeCell ref="A1:F1"/>
    <mergeCell ref="A2:F2"/>
    <mergeCell ref="A4:F4"/>
    <mergeCell ref="A9:F9"/>
    <mergeCell ref="A13:F13"/>
    <mergeCell ref="A21:F2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6" min="3" style="0" width="16"/>
  </cols>
  <sheetData>
    <row r="1" customFormat="false" ht="31.5" hidden="false" customHeight="true" outlineLevel="0" collapsed="false">
      <c r="A1" s="11" t="s">
        <v>21</v>
      </c>
      <c r="B1" s="11"/>
      <c r="C1" s="11"/>
      <c r="D1" s="11"/>
      <c r="E1" s="11"/>
      <c r="F1" s="11"/>
    </row>
    <row r="2" customFormat="false" ht="18" hidden="false" customHeight="true" outlineLevel="0" collapsed="false">
      <c r="A2" s="2" t="s">
        <v>22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12" t="s">
        <v>23</v>
      </c>
      <c r="B4" s="13" t="s">
        <v>24</v>
      </c>
      <c r="C4" s="14" t="s">
        <v>25</v>
      </c>
      <c r="D4" s="14" t="s">
        <v>26</v>
      </c>
      <c r="E4" s="14" t="s">
        <v>27</v>
      </c>
      <c r="F4" s="14" t="s">
        <v>28</v>
      </c>
    </row>
    <row r="5" customFormat="false" ht="18" hidden="false" customHeight="true" outlineLevel="0" collapsed="false">
      <c r="A5" s="15" t="s">
        <v>29</v>
      </c>
      <c r="B5" s="15"/>
      <c r="C5" s="15"/>
      <c r="D5" s="15"/>
      <c r="E5" s="15"/>
      <c r="F5" s="15"/>
    </row>
    <row r="6" customFormat="false" ht="18" hidden="false" customHeight="true" outlineLevel="0" collapsed="false">
      <c r="A6" s="16" t="s">
        <v>30</v>
      </c>
      <c r="B6" s="17" t="s">
        <v>31</v>
      </c>
      <c r="C6" s="18" t="n">
        <v>50</v>
      </c>
      <c r="D6" s="18" t="n">
        <v>70</v>
      </c>
      <c r="E6" s="18" t="n">
        <v>100</v>
      </c>
      <c r="F6" s="18" t="n">
        <v>150</v>
      </c>
    </row>
    <row r="7" customFormat="false" ht="18" hidden="false" customHeight="true" outlineLevel="0" collapsed="false">
      <c r="A7" s="19" t="s">
        <v>32</v>
      </c>
      <c r="B7" s="20" t="s">
        <v>33</v>
      </c>
      <c r="C7" s="21" t="n">
        <f aca="false">C6/150</f>
        <v>0.333333333333333</v>
      </c>
      <c r="D7" s="21" t="n">
        <f aca="false">D6/150</f>
        <v>0.466666666666667</v>
      </c>
      <c r="E7" s="21" t="n">
        <f aca="false">E6/150</f>
        <v>0.666666666666667</v>
      </c>
      <c r="F7" s="21" t="n">
        <f aca="false">F6/150</f>
        <v>1</v>
      </c>
    </row>
    <row r="8" customFormat="false" ht="6" hidden="false" customHeight="true" outlineLevel="0" collapsed="false"/>
    <row r="9" customFormat="false" ht="18" hidden="false" customHeight="true" outlineLevel="0" collapsed="false">
      <c r="A9" s="15" t="s">
        <v>34</v>
      </c>
      <c r="B9" s="15"/>
      <c r="C9" s="15"/>
      <c r="D9" s="15"/>
      <c r="E9" s="15"/>
      <c r="F9" s="15"/>
    </row>
    <row r="10" customFormat="false" ht="18" hidden="false" customHeight="true" outlineLevel="0" collapsed="false">
      <c r="A10" s="22" t="s">
        <v>35</v>
      </c>
      <c r="B10" s="23" t="s">
        <v>36</v>
      </c>
      <c r="C10" s="24" t="n">
        <f aca="false">Supuestos!$B$5*C6</f>
        <v>3900</v>
      </c>
      <c r="D10" s="24" t="n">
        <f aca="false">Supuestos!$B$5*D6</f>
        <v>5460</v>
      </c>
      <c r="E10" s="24" t="n">
        <f aca="false">Supuestos!$B$5*E6</f>
        <v>7800</v>
      </c>
      <c r="F10" s="24" t="n">
        <f aca="false">Supuestos!$B$5*F6</f>
        <v>11700</v>
      </c>
    </row>
    <row r="11" customFormat="false" ht="18" hidden="false" customHeight="true" outlineLevel="0" collapsed="false">
      <c r="A11" s="25" t="s">
        <v>37</v>
      </c>
      <c r="B11" s="26" t="s">
        <v>38</v>
      </c>
      <c r="C11" s="27" t="n">
        <f aca="false">(C10-C10/(1+Supuestos!$B$6))</f>
        <v>676.859504132232</v>
      </c>
      <c r="D11" s="27" t="n">
        <f aca="false">(D10-D10/(1+Supuestos!$B$6))</f>
        <v>947.603305785124</v>
      </c>
      <c r="E11" s="27" t="n">
        <f aca="false">(E10-E10/(1+Supuestos!$B$6))</f>
        <v>1353.71900826446</v>
      </c>
      <c r="F11" s="27" t="n">
        <f aca="false">(F10-F10/(1+Supuestos!$B$6))</f>
        <v>2030.57851239669</v>
      </c>
    </row>
    <row r="12" customFormat="false" ht="18" hidden="false" customHeight="true" outlineLevel="0" collapsed="false">
      <c r="A12" s="28" t="s">
        <v>39</v>
      </c>
      <c r="B12" s="29" t="s">
        <v>40</v>
      </c>
      <c r="C12" s="30" t="n">
        <f aca="false">C10-C11</f>
        <v>3223.14049586777</v>
      </c>
      <c r="D12" s="30" t="n">
        <f aca="false">D10-D11</f>
        <v>4512.39669421488</v>
      </c>
      <c r="E12" s="30" t="n">
        <f aca="false">E10-E11</f>
        <v>6446.28099173554</v>
      </c>
      <c r="F12" s="30" t="n">
        <f aca="false">F10-F11</f>
        <v>9669.42148760331</v>
      </c>
    </row>
    <row r="13" customFormat="false" ht="6" hidden="false" customHeight="true" outlineLevel="0" collapsed="false"/>
    <row r="14" customFormat="false" ht="18" hidden="false" customHeight="true" outlineLevel="0" collapsed="false">
      <c r="A14" s="15" t="s">
        <v>41</v>
      </c>
      <c r="B14" s="15"/>
      <c r="C14" s="15"/>
      <c r="D14" s="15"/>
      <c r="E14" s="15"/>
      <c r="F14" s="15"/>
    </row>
    <row r="15" customFormat="false" ht="18" hidden="false" customHeight="true" outlineLevel="0" collapsed="false">
      <c r="A15" s="25" t="s">
        <v>42</v>
      </c>
      <c r="B15" s="26" t="s">
        <v>43</v>
      </c>
      <c r="C15" s="27" t="n">
        <f aca="false">(Supuestos!$B$10*Supuestos!$B$5+Supuestos!$B$11)*C6</f>
        <v>303</v>
      </c>
      <c r="D15" s="27" t="n">
        <f aca="false">(Supuestos!$B$10*Supuestos!$B$5+Supuestos!$B$11)*D6</f>
        <v>424.2</v>
      </c>
      <c r="E15" s="27" t="n">
        <f aca="false">(Supuestos!$B$10*Supuestos!$B$5+Supuestos!$B$11)*E6</f>
        <v>606</v>
      </c>
      <c r="F15" s="27" t="n">
        <f aca="false">(Supuestos!$B$10*Supuestos!$B$5+Supuestos!$B$11)*F6</f>
        <v>909</v>
      </c>
    </row>
    <row r="16" customFormat="false" ht="6" hidden="false" customHeight="true" outlineLevel="0" collapsed="false"/>
    <row r="17" customFormat="false" ht="18" hidden="false" customHeight="true" outlineLevel="0" collapsed="false">
      <c r="A17" s="15" t="s">
        <v>44</v>
      </c>
      <c r="B17" s="15"/>
      <c r="C17" s="15"/>
      <c r="D17" s="15"/>
      <c r="E17" s="15"/>
      <c r="F17" s="15"/>
    </row>
    <row r="18" customFormat="false" ht="18" hidden="false" customHeight="true" outlineLevel="0" collapsed="false">
      <c r="A18" s="25" t="s">
        <v>10</v>
      </c>
      <c r="B18" s="26" t="s">
        <v>45</v>
      </c>
      <c r="C18" s="27" t="n">
        <f aca="false">Supuestos!$B$14</f>
        <v>400</v>
      </c>
      <c r="D18" s="27" t="n">
        <f aca="false">Supuestos!$B$14</f>
        <v>400</v>
      </c>
      <c r="E18" s="27" t="n">
        <f aca="false">Supuestos!$B$14</f>
        <v>400</v>
      </c>
      <c r="F18" s="27" t="n">
        <f aca="false">Supuestos!$B$14</f>
        <v>400</v>
      </c>
    </row>
    <row r="19" customFormat="false" ht="18" hidden="false" customHeight="true" outlineLevel="0" collapsed="false">
      <c r="A19" s="25" t="s">
        <v>11</v>
      </c>
      <c r="B19" s="26" t="s">
        <v>46</v>
      </c>
      <c r="C19" s="27" t="n">
        <f aca="false">Supuestos!$B$15</f>
        <v>150</v>
      </c>
      <c r="D19" s="27" t="n">
        <f aca="false">Supuestos!$B$15</f>
        <v>150</v>
      </c>
      <c r="E19" s="27" t="n">
        <f aca="false">Supuestos!$B$15</f>
        <v>150</v>
      </c>
      <c r="F19" s="27" t="n">
        <f aca="false">Supuestos!$B$15</f>
        <v>150</v>
      </c>
    </row>
    <row r="20" customFormat="false" ht="18" hidden="false" customHeight="true" outlineLevel="0" collapsed="false">
      <c r="A20" s="25" t="s">
        <v>12</v>
      </c>
      <c r="B20" s="26" t="s">
        <v>47</v>
      </c>
      <c r="C20" s="27" t="n">
        <f aca="false">Supuestos!$B$16</f>
        <v>60</v>
      </c>
      <c r="D20" s="27" t="n">
        <f aca="false">Supuestos!$B$16</f>
        <v>60</v>
      </c>
      <c r="E20" s="27" t="n">
        <f aca="false">Supuestos!$B$16</f>
        <v>60</v>
      </c>
      <c r="F20" s="27" t="n">
        <f aca="false">Supuestos!$B$16</f>
        <v>60</v>
      </c>
    </row>
    <row r="21" customFormat="false" ht="18" hidden="false" customHeight="true" outlineLevel="0" collapsed="false">
      <c r="A21" s="25" t="s">
        <v>48</v>
      </c>
      <c r="B21" s="26" t="s">
        <v>49</v>
      </c>
      <c r="C21" s="27" t="n">
        <f aca="false">Supuestos!$B$17</f>
        <v>250</v>
      </c>
      <c r="D21" s="27" t="n">
        <f aca="false">Supuestos!$B$17</f>
        <v>250</v>
      </c>
      <c r="E21" s="27" t="n">
        <f aca="false">Supuestos!$B$17</f>
        <v>250</v>
      </c>
      <c r="F21" s="27" t="n">
        <f aca="false">Supuestos!$B$17</f>
        <v>250</v>
      </c>
    </row>
    <row r="22" customFormat="false" ht="18" hidden="false" customHeight="true" outlineLevel="0" collapsed="false">
      <c r="A22" s="25" t="s">
        <v>50</v>
      </c>
      <c r="B22" s="26" t="s">
        <v>51</v>
      </c>
      <c r="C22" s="27" t="n">
        <f aca="false">Supuestos!$B$18</f>
        <v>120</v>
      </c>
      <c r="D22" s="27" t="n">
        <f aca="false">Supuestos!$B$18</f>
        <v>120</v>
      </c>
      <c r="E22" s="27" t="n">
        <f aca="false">Supuestos!$B$18</f>
        <v>120</v>
      </c>
      <c r="F22" s="27" t="n">
        <f aca="false">Supuestos!$B$18</f>
        <v>120</v>
      </c>
    </row>
    <row r="23" customFormat="false" ht="18" hidden="false" customHeight="true" outlineLevel="0" collapsed="false">
      <c r="A23" s="25" t="s">
        <v>15</v>
      </c>
      <c r="B23" s="26" t="s">
        <v>52</v>
      </c>
      <c r="C23" s="27" t="n">
        <f aca="false">Supuestos!$B$19</f>
        <v>80</v>
      </c>
      <c r="D23" s="27" t="n">
        <f aca="false">Supuestos!$B$19</f>
        <v>80</v>
      </c>
      <c r="E23" s="27" t="n">
        <f aca="false">Supuestos!$B$19</f>
        <v>80</v>
      </c>
      <c r="F23" s="27" t="n">
        <f aca="false">Supuestos!$B$19</f>
        <v>80</v>
      </c>
    </row>
    <row r="24" customFormat="false" ht="18" hidden="false" customHeight="true" outlineLevel="0" collapsed="false">
      <c r="A24" s="31" t="s">
        <v>53</v>
      </c>
      <c r="B24" s="32"/>
      <c r="C24" s="33" t="n">
        <f aca="false">SUM(C18:C23)</f>
        <v>1060</v>
      </c>
      <c r="D24" s="33" t="n">
        <f aca="false">SUM(D18:D23)</f>
        <v>1060</v>
      </c>
      <c r="E24" s="33" t="n">
        <f aca="false">SUM(E18:E23)</f>
        <v>1060</v>
      </c>
      <c r="F24" s="33" t="n">
        <f aca="false">SUM(F18:F23)</f>
        <v>1060</v>
      </c>
    </row>
    <row r="25" customFormat="false" ht="6" hidden="false" customHeight="true" outlineLevel="0" collapsed="false"/>
    <row r="26" customFormat="false" ht="18" hidden="false" customHeight="true" outlineLevel="0" collapsed="false">
      <c r="A26" s="15" t="s">
        <v>54</v>
      </c>
      <c r="B26" s="15"/>
      <c r="C26" s="15"/>
      <c r="D26" s="15"/>
      <c r="E26" s="15"/>
      <c r="F26" s="15"/>
    </row>
    <row r="27" customFormat="false" ht="18" hidden="false" customHeight="true" outlineLevel="0" collapsed="false">
      <c r="A27" s="31" t="s">
        <v>55</v>
      </c>
      <c r="B27" s="32"/>
      <c r="C27" s="33" t="n">
        <f aca="false">C15+C24</f>
        <v>1363</v>
      </c>
      <c r="D27" s="33" t="n">
        <f aca="false">D15+D24</f>
        <v>1484.2</v>
      </c>
      <c r="E27" s="33" t="n">
        <f aca="false">E15+E24</f>
        <v>1666</v>
      </c>
      <c r="F27" s="33" t="n">
        <f aca="false">F15+F24</f>
        <v>1969</v>
      </c>
    </row>
    <row r="28" customFormat="false" ht="18" hidden="false" customHeight="true" outlineLevel="0" collapsed="false">
      <c r="A28" s="34" t="s">
        <v>56</v>
      </c>
      <c r="B28" s="35" t="s">
        <v>57</v>
      </c>
      <c r="C28" s="36" t="n">
        <f aca="false">C12-C27</f>
        <v>1860.14049586777</v>
      </c>
      <c r="D28" s="36" t="n">
        <f aca="false">D12-D27</f>
        <v>3028.19669421488</v>
      </c>
      <c r="E28" s="36" t="n">
        <f aca="false">E12-E27</f>
        <v>4780.28099173554</v>
      </c>
      <c r="F28" s="36" t="n">
        <f aca="false">F12-F27</f>
        <v>7700.42148760331</v>
      </c>
    </row>
    <row r="29" customFormat="false" ht="18" hidden="false" customHeight="true" outlineLevel="0" collapsed="false">
      <c r="A29" s="19" t="s">
        <v>58</v>
      </c>
      <c r="B29" s="20" t="s">
        <v>59</v>
      </c>
      <c r="C29" s="37" t="n">
        <f aca="false">IF(C12&lt;&gt;0,C28/C12,0)</f>
        <v>0.577120512820513</v>
      </c>
      <c r="D29" s="37" t="n">
        <f aca="false">IF(D12&lt;&gt;0,D28/D12,0)</f>
        <v>0.671083882783883</v>
      </c>
      <c r="E29" s="37" t="n">
        <f aca="false">IF(E12&lt;&gt;0,E28/E12,0)</f>
        <v>0.74155641025641</v>
      </c>
      <c r="F29" s="37" t="n">
        <f aca="false">IF(F12&lt;&gt;0,F28/F12,0)</f>
        <v>0.796368376068376</v>
      </c>
    </row>
    <row r="30" customFormat="false" ht="6" hidden="false" customHeight="true" outlineLevel="0" collapsed="false"/>
    <row r="31" customFormat="false" ht="18" hidden="false" customHeight="true" outlineLevel="0" collapsed="false">
      <c r="A31" s="38" t="s">
        <v>60</v>
      </c>
      <c r="B31" s="17" t="s">
        <v>61</v>
      </c>
      <c r="C31" s="39" t="n">
        <f aca="false">CEILING(Supuestos!$B$18+Supuestos!$B$19+Supuestos!$B$14+Supuestos!$B$15+Supuestos!$B$16+Supuestos!$B$17,1)/(Supuestos!$B$7-(Supuestos!$B$10*Supuestos!$B$5+Supuestos!$B$11))</f>
        <v>18.1498116528979</v>
      </c>
      <c r="D31" s="39" t="n">
        <f aca="false">CEILING(Supuestos!$B$18+Supuestos!$B$19+Supuestos!$B$14+Supuestos!$B$15+Supuestos!$B$16+Supuestos!$B$17,1)/(Supuestos!$B$7-(Supuestos!$B$10*Supuestos!$B$5+Supuestos!$B$11))</f>
        <v>18.1498116528979</v>
      </c>
      <c r="E31" s="39" t="n">
        <f aca="false">CEILING(Supuestos!$B$18+Supuestos!$B$19+Supuestos!$B$14+Supuestos!$B$15+Supuestos!$B$16+Supuestos!$B$17,1)/(Supuestos!$B$7-(Supuestos!$B$10*Supuestos!$B$5+Supuestos!$B$11))</f>
        <v>18.1498116528979</v>
      </c>
      <c r="F31" s="39" t="n">
        <f aca="false">CEILING(Supuestos!$B$18+Supuestos!$B$19+Supuestos!$B$14+Supuestos!$B$15+Supuestos!$B$16+Supuestos!$B$17,1)/(Supuestos!$B$7-(Supuestos!$B$10*Supuestos!$B$5+Supuestos!$B$11))</f>
        <v>18.1498116528979</v>
      </c>
    </row>
    <row r="32" customFormat="false" ht="6" hidden="false" customHeight="true" outlineLevel="0" collapsed="false"/>
    <row r="33" customFormat="false" ht="18" hidden="false" customHeight="true" outlineLevel="0" collapsed="false">
      <c r="A33" s="15" t="s">
        <v>62</v>
      </c>
      <c r="B33" s="15"/>
      <c r="C33" s="15"/>
      <c r="D33" s="15"/>
      <c r="E33" s="15"/>
      <c r="F33" s="15"/>
    </row>
    <row r="34" customFormat="false" ht="18" hidden="false" customHeight="true" outlineLevel="0" collapsed="false">
      <c r="A34" s="40" t="s">
        <v>63</v>
      </c>
      <c r="B34" s="29" t="s">
        <v>64</v>
      </c>
      <c r="C34" s="30" t="n">
        <f aca="false">MAX(0,C28*Supuestos!$B$22)</f>
        <v>744.056198347108</v>
      </c>
      <c r="D34" s="30" t="n">
        <f aca="false">MAX(0,D28*Supuestos!$B$22)</f>
        <v>1211.27867768595</v>
      </c>
      <c r="E34" s="30" t="n">
        <f aca="false">MAX(0,E28*Supuestos!$B$22)</f>
        <v>1912.11239669422</v>
      </c>
      <c r="F34" s="30" t="n">
        <f aca="false">MAX(0,F28*Supuestos!$B$22)</f>
        <v>3080.16859504132</v>
      </c>
    </row>
    <row r="35" customFormat="false" ht="18" hidden="false" customHeight="true" outlineLevel="0" collapsed="false">
      <c r="A35" s="40" t="s">
        <v>65</v>
      </c>
      <c r="B35" s="29" t="s">
        <v>64</v>
      </c>
      <c r="C35" s="30" t="n">
        <f aca="false">MAX(0,C28*Supuestos!$B$23)</f>
        <v>744.056198347108</v>
      </c>
      <c r="D35" s="30" t="n">
        <f aca="false">MAX(0,D28*Supuestos!$B$23)</f>
        <v>1211.27867768595</v>
      </c>
      <c r="E35" s="30" t="n">
        <f aca="false">MAX(0,E28*Supuestos!$B$23)</f>
        <v>1912.11239669422</v>
      </c>
      <c r="F35" s="30" t="n">
        <f aca="false">MAX(0,F28*Supuestos!$B$23)</f>
        <v>3080.16859504132</v>
      </c>
    </row>
    <row r="36" customFormat="false" ht="18" hidden="false" customHeight="true" outlineLevel="0" collapsed="false">
      <c r="A36" s="40" t="s">
        <v>66</v>
      </c>
      <c r="B36" s="29" t="s">
        <v>64</v>
      </c>
      <c r="C36" s="30" t="n">
        <f aca="false">MAX(0,C28*Supuestos!$B$24)</f>
        <v>372.028099173554</v>
      </c>
      <c r="D36" s="30" t="n">
        <f aca="false">MAX(0,D28*Supuestos!$B$24)</f>
        <v>605.639338842975</v>
      </c>
      <c r="E36" s="30" t="n">
        <f aca="false">MAX(0,E28*Supuestos!$B$24)</f>
        <v>956.056198347108</v>
      </c>
      <c r="F36" s="30" t="n">
        <f aca="false">MAX(0,F28*Supuestos!$B$24)</f>
        <v>1540.08429752066</v>
      </c>
    </row>
    <row r="37" customFormat="false" ht="6" hidden="false" customHeight="true" outlineLevel="0" collapsed="false"/>
    <row r="38" customFormat="false" ht="18" hidden="false" customHeight="true" outlineLevel="0" collapsed="false">
      <c r="A38" s="15" t="s">
        <v>67</v>
      </c>
      <c r="B38" s="15"/>
      <c r="C38" s="15"/>
      <c r="D38" s="15"/>
      <c r="E38" s="15"/>
      <c r="F38" s="15"/>
    </row>
    <row r="39" customFormat="false" ht="18" hidden="false" customHeight="true" outlineLevel="0" collapsed="false">
      <c r="A39" s="28" t="s">
        <v>68</v>
      </c>
      <c r="B39" s="29" t="s">
        <v>69</v>
      </c>
      <c r="C39" s="30" t="n">
        <f aca="false">C28*3</f>
        <v>5580.42148760331</v>
      </c>
      <c r="D39" s="30" t="n">
        <f aca="false">D28*3</f>
        <v>9084.59008264463</v>
      </c>
      <c r="E39" s="30" t="n">
        <f aca="false">E28*3</f>
        <v>14340.8429752066</v>
      </c>
      <c r="F39" s="30" t="n">
        <f aca="false">F28*3</f>
        <v>23101.2644628099</v>
      </c>
    </row>
    <row r="40" customFormat="false" ht="18" hidden="false" customHeight="true" outlineLevel="0" collapsed="false">
      <c r="A40" s="40" t="s">
        <v>70</v>
      </c>
      <c r="B40" s="29"/>
      <c r="C40" s="30" t="n">
        <f aca="false">C39*Supuestos!$B$22</f>
        <v>2232.16859504132</v>
      </c>
      <c r="D40" s="30" t="n">
        <f aca="false">D39*Supuestos!$B$22</f>
        <v>3633.83603305785</v>
      </c>
      <c r="E40" s="30" t="n">
        <f aca="false">E39*Supuestos!$B$22</f>
        <v>5736.33719008265</v>
      </c>
      <c r="F40" s="30" t="n">
        <f aca="false">F39*Supuestos!$B$22</f>
        <v>9240.50578512397</v>
      </c>
    </row>
    <row r="41" customFormat="false" ht="18" hidden="false" customHeight="true" outlineLevel="0" collapsed="false">
      <c r="A41" s="40" t="s">
        <v>71</v>
      </c>
      <c r="B41" s="29"/>
      <c r="C41" s="30"/>
      <c r="D41" s="30"/>
      <c r="E41" s="30"/>
      <c r="F41" s="30"/>
    </row>
    <row r="42" customFormat="false" ht="18" hidden="false" customHeight="true" outlineLevel="0" collapsed="false">
      <c r="A42" s="40" t="s">
        <v>72</v>
      </c>
      <c r="B42" s="29"/>
      <c r="C42" s="30" t="n">
        <f aca="false">C39*Supuestos!$B$24</f>
        <v>1116.08429752066</v>
      </c>
      <c r="D42" s="30" t="n">
        <f aca="false">D39*Supuestos!$B$24</f>
        <v>1816.91801652893</v>
      </c>
      <c r="E42" s="30" t="n">
        <f aca="false">E39*Supuestos!$B$24</f>
        <v>2868.16859504132</v>
      </c>
      <c r="F42" s="30" t="n">
        <f aca="false">F39*Supuestos!$B$24</f>
        <v>4620.25289256198</v>
      </c>
    </row>
  </sheetData>
  <mergeCells count="9">
    <mergeCell ref="A1:F1"/>
    <mergeCell ref="A2:F2"/>
    <mergeCell ref="A5:F5"/>
    <mergeCell ref="A9:F9"/>
    <mergeCell ref="A14:F14"/>
    <mergeCell ref="A17:F17"/>
    <mergeCell ref="A26:F26"/>
    <mergeCell ref="A33:F33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1" t="s">
        <v>73</v>
      </c>
      <c r="B1" s="11"/>
      <c r="C1" s="11"/>
      <c r="D1" s="11"/>
      <c r="E1" s="1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</row>
    <row r="4" customFormat="false" ht="19.5" hidden="false" customHeight="true" outlineLevel="0" collapsed="false">
      <c r="A4" s="41" t="s">
        <v>75</v>
      </c>
      <c r="B4" s="41" t="s">
        <v>76</v>
      </c>
      <c r="C4" s="41" t="s">
        <v>77</v>
      </c>
      <c r="D4" s="41" t="s">
        <v>78</v>
      </c>
      <c r="E4" s="41" t="s">
        <v>79</v>
      </c>
    </row>
    <row r="5" customFormat="false" ht="21.75" hidden="false" customHeight="true" outlineLevel="0" collapsed="false">
      <c r="A5" s="42" t="s">
        <v>80</v>
      </c>
      <c r="B5" s="43" t="s">
        <v>81</v>
      </c>
      <c r="C5" s="42" t="s">
        <v>82</v>
      </c>
      <c r="D5" s="42" t="s">
        <v>83</v>
      </c>
      <c r="E5" s="42" t="s">
        <v>84</v>
      </c>
    </row>
    <row r="6" customFormat="false" ht="21.75" hidden="false" customHeight="true" outlineLevel="0" collapsed="false">
      <c r="A6" s="42" t="s">
        <v>85</v>
      </c>
      <c r="B6" s="43" t="s">
        <v>86</v>
      </c>
      <c r="C6" s="42" t="s">
        <v>82</v>
      </c>
      <c r="D6" s="42" t="s">
        <v>87</v>
      </c>
      <c r="E6" s="42" t="s">
        <v>84</v>
      </c>
    </row>
    <row r="7" customFormat="false" ht="21.75" hidden="false" customHeight="true" outlineLevel="0" collapsed="false">
      <c r="A7" s="42" t="s">
        <v>85</v>
      </c>
      <c r="B7" s="43" t="s">
        <v>88</v>
      </c>
      <c r="C7" s="42" t="s">
        <v>82</v>
      </c>
      <c r="D7" s="42" t="s">
        <v>89</v>
      </c>
      <c r="E7" s="42" t="s">
        <v>84</v>
      </c>
    </row>
    <row r="8" customFormat="false" ht="21.75" hidden="false" customHeight="true" outlineLevel="0" collapsed="false">
      <c r="A8" s="42" t="s">
        <v>90</v>
      </c>
      <c r="B8" s="43" t="s">
        <v>91</v>
      </c>
      <c r="C8" s="42" t="s">
        <v>92</v>
      </c>
      <c r="D8" s="42" t="s">
        <v>93</v>
      </c>
      <c r="E8" s="42" t="s">
        <v>84</v>
      </c>
    </row>
    <row r="9" customFormat="false" ht="21.75" hidden="false" customHeight="true" outlineLevel="0" collapsed="false">
      <c r="A9" s="44" t="s">
        <v>94</v>
      </c>
      <c r="B9" s="45" t="s">
        <v>95</v>
      </c>
      <c r="C9" s="44" t="s">
        <v>96</v>
      </c>
      <c r="D9" s="44" t="s">
        <v>97</v>
      </c>
      <c r="E9" s="44" t="s">
        <v>98</v>
      </c>
    </row>
    <row r="10" customFormat="false" ht="21.75" hidden="false" customHeight="true" outlineLevel="0" collapsed="false">
      <c r="A10" s="44" t="s">
        <v>99</v>
      </c>
      <c r="B10" s="45" t="s">
        <v>100</v>
      </c>
      <c r="C10" s="44" t="s">
        <v>96</v>
      </c>
      <c r="D10" s="44" t="s">
        <v>97</v>
      </c>
      <c r="E10" s="44" t="s">
        <v>98</v>
      </c>
    </row>
    <row r="11" customFormat="false" ht="21.75" hidden="false" customHeight="true" outlineLevel="0" collapsed="false">
      <c r="A11" s="44" t="s">
        <v>101</v>
      </c>
      <c r="B11" s="45" t="s">
        <v>102</v>
      </c>
      <c r="C11" s="44" t="s">
        <v>96</v>
      </c>
      <c r="D11" s="44" t="s">
        <v>97</v>
      </c>
      <c r="E11" s="44" t="s">
        <v>98</v>
      </c>
    </row>
    <row r="12" customFormat="false" ht="21.75" hidden="false" customHeight="true" outlineLevel="0" collapsed="false">
      <c r="A12" s="46" t="s">
        <v>103</v>
      </c>
      <c r="B12" s="47" t="s">
        <v>104</v>
      </c>
      <c r="C12" s="46" t="s">
        <v>105</v>
      </c>
      <c r="D12" s="46" t="s">
        <v>106</v>
      </c>
      <c r="E12" s="46" t="s">
        <v>107</v>
      </c>
    </row>
    <row r="13" customFormat="false" ht="21.75" hidden="false" customHeight="true" outlineLevel="0" collapsed="false">
      <c r="A13" s="48" t="s">
        <v>108</v>
      </c>
      <c r="B13" s="49" t="s">
        <v>109</v>
      </c>
      <c r="C13" s="48" t="s">
        <v>110</v>
      </c>
      <c r="D13" s="48" t="s">
        <v>111</v>
      </c>
      <c r="E13" s="48" t="s">
        <v>112</v>
      </c>
    </row>
    <row r="14" customFormat="false" ht="21.75" hidden="false" customHeight="true" outlineLevel="0" collapsed="false">
      <c r="A14" s="48" t="s">
        <v>113</v>
      </c>
      <c r="B14" s="49" t="s">
        <v>114</v>
      </c>
      <c r="C14" s="48" t="s">
        <v>115</v>
      </c>
      <c r="D14" s="48" t="s">
        <v>116</v>
      </c>
      <c r="E14" s="48" t="s">
        <v>112</v>
      </c>
    </row>
    <row r="15" customFormat="false" ht="21.75" hidden="false" customHeight="true" outlineLevel="0" collapsed="false">
      <c r="A15" s="48" t="s">
        <v>113</v>
      </c>
      <c r="B15" s="49" t="s">
        <v>117</v>
      </c>
      <c r="C15" s="48" t="s">
        <v>118</v>
      </c>
      <c r="D15" s="48" t="s">
        <v>119</v>
      </c>
      <c r="E15" s="48" t="s">
        <v>112</v>
      </c>
    </row>
    <row r="16" customFormat="false" ht="21.75" hidden="false" customHeight="true" outlineLevel="0" collapsed="false">
      <c r="A16" s="50" t="s">
        <v>120</v>
      </c>
      <c r="B16" s="51" t="s">
        <v>121</v>
      </c>
      <c r="C16" s="50" t="s">
        <v>122</v>
      </c>
      <c r="D16" s="50" t="s">
        <v>123</v>
      </c>
      <c r="E16" s="50" t="s">
        <v>124</v>
      </c>
    </row>
    <row r="17" customFormat="false" ht="21.75" hidden="false" customHeight="true" outlineLevel="0" collapsed="false">
      <c r="A17" s="50" t="s">
        <v>120</v>
      </c>
      <c r="B17" s="51" t="s">
        <v>125</v>
      </c>
      <c r="C17" s="50" t="s">
        <v>126</v>
      </c>
      <c r="D17" s="50" t="s">
        <v>127</v>
      </c>
      <c r="E17" s="50" t="s">
        <v>124</v>
      </c>
    </row>
    <row r="18" customFormat="false" ht="21.75" hidden="false" customHeight="true" outlineLevel="0" collapsed="false">
      <c r="A18" s="50" t="s">
        <v>120</v>
      </c>
      <c r="B18" s="51" t="s">
        <v>128</v>
      </c>
      <c r="C18" s="50" t="s">
        <v>129</v>
      </c>
      <c r="D18" s="50" t="s">
        <v>130</v>
      </c>
      <c r="E18" s="50" t="s">
        <v>124</v>
      </c>
    </row>
    <row r="19" customFormat="false" ht="21.75" hidden="false" customHeight="true" outlineLevel="0" collapsed="false">
      <c r="A19" s="50" t="s">
        <v>120</v>
      </c>
      <c r="B19" s="51" t="s">
        <v>131</v>
      </c>
      <c r="C19" s="50" t="s">
        <v>132</v>
      </c>
      <c r="D19" s="50" t="s">
        <v>133</v>
      </c>
      <c r="E19" s="50" t="s">
        <v>124</v>
      </c>
    </row>
    <row r="22" customFormat="false" ht="18" hidden="false" customHeight="true" outlineLevel="0" collapsed="false">
      <c r="A22" s="52" t="s">
        <v>134</v>
      </c>
      <c r="B22" s="52"/>
      <c r="C22" s="52"/>
      <c r="D22" s="52"/>
      <c r="E22" s="52"/>
    </row>
    <row r="23" customFormat="false" ht="18" hidden="false" customHeight="true" outlineLevel="0" collapsed="false">
      <c r="A23" s="53" t="s">
        <v>84</v>
      </c>
    </row>
    <row r="24" customFormat="false" ht="18" hidden="false" customHeight="true" outlineLevel="0" collapsed="false">
      <c r="A24" s="54" t="s">
        <v>98</v>
      </c>
    </row>
    <row r="25" customFormat="false" ht="18" hidden="false" customHeight="true" outlineLevel="0" collapsed="false">
      <c r="A25" s="55" t="s">
        <v>107</v>
      </c>
    </row>
    <row r="26" customFormat="false" ht="18" hidden="false" customHeight="true" outlineLevel="0" collapsed="false">
      <c r="A26" s="56" t="s">
        <v>112</v>
      </c>
    </row>
    <row r="27" customFormat="false" ht="18" hidden="false" customHeight="true" outlineLevel="0" collapsed="false">
      <c r="A27" s="57" t="s">
        <v>124</v>
      </c>
    </row>
  </sheetData>
  <mergeCells count="3">
    <mergeCell ref="A1:E1"/>
    <mergeCell ref="A2:E2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2026-04-23T15:15:47Z</dcterms:created>
  <dc:creator>openpyxl</dc:creator>
  <dc:description/>
  <dc:language>en-US</dc:language>
  <cp:lastModifiedBy/>
  <dcterms:modified xsi:type="dcterms:W3CDTF">2026-04-23T15:15:48Z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